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WBS進捗管理" sheetId="2" r:id="rId6"/>
    <sheet state="visible" name="Team" sheetId="3" r:id="rId7"/>
    <sheet state="visible" name="Risks_Issues" sheetId="4" r:id="rId8"/>
  </sheets>
  <definedNames/>
  <calcPr/>
</workbook>
</file>

<file path=xl/sharedStrings.xml><?xml version="1.0" encoding="utf-8"?>
<sst xmlns="http://schemas.openxmlformats.org/spreadsheetml/2006/main" count="454" uniqueCount="242">
  <si>
    <t>Hot Product Hunter - WBS</t>
  </si>
  <si>
    <t>Status Summary</t>
  </si>
  <si>
    <t>Document version</t>
  </si>
  <si>
    <t>0.1</t>
  </si>
  <si>
    <t>Status</t>
  </si>
  <si>
    <t>Draft</t>
  </si>
  <si>
    <t>Count</t>
  </si>
  <si>
    <t>Customer</t>
  </si>
  <si>
    <t>Shintech Academy</t>
  </si>
  <si>
    <t>Created by</t>
  </si>
  <si>
    <t>BrSE-Hai Anh</t>
  </si>
  <si>
    <t>Not Started</t>
  </si>
  <si>
    <t>Start date</t>
  </si>
  <si>
    <t>End date</t>
  </si>
  <si>
    <t>In Progress</t>
  </si>
  <si>
    <t>Scope</t>
  </si>
  <si>
    <t>Backend-only: API + collector + database + notification</t>
  </si>
  <si>
    <t>Done</t>
  </si>
  <si>
    <t>Blocked</t>
  </si>
  <si>
    <t>Phase</t>
  </si>
  <si>
    <t>Period</t>
  </si>
  <si>
    <t>Goal</t>
  </si>
  <si>
    <t>M1 - Setup &amp; Design</t>
  </si>
  <si>
    <t>2026/05/29 - 2026/06/02</t>
  </si>
  <si>
    <t>GitHub setup, spec, API spec, WBS</t>
  </si>
  <si>
    <t>M2 - Core Backend</t>
  </si>
  <si>
    <t>2026/06/03 - 2026/06/13</t>
  </si>
  <si>
    <t>FastAPI, DB, collector, filter, notification</t>
  </si>
  <si>
    <t>M3 - Test &amp; Demo</t>
  </si>
  <si>
    <t>2026/06/14 - 2026/06/19</t>
  </si>
  <si>
    <t>pytest, bug fix, README, demo script</t>
  </si>
  <si>
    <t>KPI</t>
  </si>
  <si>
    <t>Formula / Rule</t>
  </si>
  <si>
    <t>Target</t>
  </si>
  <si>
    <t>Note</t>
  </si>
  <si>
    <t>Progress</t>
  </si>
  <si>
    <t>Done task / Total task</t>
  </si>
  <si>
    <t>&gt;= 90% by final demo</t>
  </si>
  <si>
    <t>Update Status in WBS sheet</t>
  </si>
  <si>
    <t>Critical task blocked</t>
  </si>
  <si>
    <t>Count blocked tasks</t>
  </si>
  <si>
    <t>0</t>
  </si>
  <si>
    <t>Escalate to BrSE</t>
  </si>
  <si>
    <t>Must scope completed</t>
  </si>
  <si>
    <t>All Must tasks done</t>
  </si>
  <si>
    <t>100%</t>
  </si>
  <si>
    <t>Before final demo</t>
  </si>
  <si>
    <t>ID</t>
  </si>
  <si>
    <t>Task</t>
  </si>
  <si>
    <t>Description</t>
  </si>
  <si>
    <t>Owner</t>
  </si>
  <si>
    <t>Role</t>
  </si>
  <si>
    <t>Start</t>
  </si>
  <si>
    <t>End</t>
  </si>
  <si>
    <t>Estimate(d)</t>
  </si>
  <si>
    <t>Priority</t>
  </si>
  <si>
    <t>Deliverable</t>
  </si>
  <si>
    <t>GitHub Issue</t>
  </si>
  <si>
    <t>Notes</t>
  </si>
  <si>
    <t>1.1</t>
  </si>
  <si>
    <t>Setup GitHub repository</t>
  </si>
  <si>
    <t>Tạo repo, branch protection, labels, milestones, project board</t>
  </si>
  <si>
    <t>Hải Anh</t>
  </si>
  <si>
    <t>BrSE</t>
  </si>
  <si>
    <t>2026/05/29</t>
  </si>
  <si>
    <t>2026/05/30</t>
  </si>
  <si>
    <t>High</t>
  </si>
  <si>
    <t>GitHub repo ready</t>
  </si>
  <si>
    <t>#1</t>
  </si>
  <si>
    <t>Không push trực tiếp main</t>
  </si>
  <si>
    <t>1.2</t>
  </si>
  <si>
    <t>Write requirement spec</t>
  </si>
  <si>
    <t>Viết spec scope MVP, FR/NFR, in/out scope</t>
  </si>
  <si>
    <t>2026/06/02</t>
  </si>
  <si>
    <t>docs/01_requirement_spec.md</t>
  </si>
  <si>
    <t>#2</t>
  </si>
  <si>
    <t>1.3</t>
  </si>
  <si>
    <t>Write API spec</t>
  </si>
  <si>
    <t>Định nghĩa endpoint, request/response, error format</t>
  </si>
  <si>
    <t>docs/02_api_spec.md</t>
  </si>
  <si>
    <t>#3</t>
  </si>
  <si>
    <t>1.4</t>
  </si>
  <si>
    <t>Write WBS</t>
  </si>
  <si>
    <t>Chia task, owner, estimate, output</t>
  </si>
  <si>
    <t>docs/03_wbs.md</t>
  </si>
  <si>
    <t>#4</t>
  </si>
  <si>
    <t>1.5</t>
  </si>
  <si>
    <t>Finalize GitHub workflow doc</t>
  </si>
  <si>
    <t>Ghi rule branch, PR, conflict check, merge</t>
  </si>
  <si>
    <t>Medium</t>
  </si>
  <si>
    <t>docs/04_github_workflow.md</t>
  </si>
  <si>
    <t>TBD</t>
  </si>
  <si>
    <t>2.1</t>
  </si>
  <si>
    <t>Setup FastAPI base project</t>
  </si>
  <si>
    <t>Tạo app/main.py, router structure, health endpoint</t>
  </si>
  <si>
    <t>Hai Man</t>
  </si>
  <si>
    <t>Dev - API</t>
  </si>
  <si>
    <t>2026/06/03</t>
  </si>
  <si>
    <t>2026/06/04</t>
  </si>
  <si>
    <t>GET /health works</t>
  </si>
  <si>
    <t>2.2</t>
  </si>
  <si>
    <t>Setup project config</t>
  </si>
  <si>
    <t>Tạo config.py, .env.example, settings loader</t>
  </si>
  <si>
    <t>Config loads from .env</t>
  </si>
  <si>
    <t>Không commit real token</t>
  </si>
  <si>
    <t>2.3</t>
  </si>
  <si>
    <t>Setup SQLite + SQLAlchemy</t>
  </si>
  <si>
    <t>Tạo database.py, session, base model</t>
  </si>
  <si>
    <t>VyTuoi</t>
  </si>
  <si>
    <t>Dev - DB/Test</t>
  </si>
  <si>
    <t>2026/06/05</t>
  </si>
  <si>
    <t>DB connection works</t>
  </si>
  <si>
    <t>2.4</t>
  </si>
  <si>
    <t>Create product model</t>
  </si>
  <si>
    <t>Tạo products model + schema</t>
  </si>
  <si>
    <t>2026/06/06</t>
  </si>
  <si>
    <t>products table/schema ready</t>
  </si>
  <si>
    <t>2.5</t>
  </si>
  <si>
    <t>Create keyword model/API</t>
  </si>
  <si>
    <t>GET/POST/DELETE /keywords</t>
  </si>
  <si>
    <t>2026/06/07</t>
  </si>
  <si>
    <t>Keyword CRUD works</t>
  </si>
  <si>
    <t>2.6</t>
  </si>
  <si>
    <t>Create product API</t>
  </si>
  <si>
    <t>GET /products, GET /products/{id}, basic filters</t>
  </si>
  <si>
    <t>2026/06/08</t>
  </si>
  <si>
    <t>Product API returns data</t>
  </si>
  <si>
    <t>2.7</t>
  </si>
  <si>
    <t>Implement keyword filter service</t>
  </si>
  <si>
    <t>Match title/raw_content with active keywords</t>
  </si>
  <si>
    <t>matched_keywords generated</t>
  </si>
  <si>
    <t>2.8</t>
  </si>
  <si>
    <t>Implement duplicate check</t>
  </si>
  <si>
    <t>URL primary duplicate key; fallback normalized_title + source</t>
  </si>
  <si>
    <t>2026/06/09</t>
  </si>
  <si>
    <t>Duplicate record skipped</t>
  </si>
  <si>
    <t>2.9</t>
  </si>
  <si>
    <t>Implement base collector interface</t>
  </si>
  <si>
    <t>Base class/common output schema for collectors</t>
  </si>
  <si>
    <t>hanhtnh1769</t>
  </si>
  <si>
    <t>Dev - Collector</t>
  </si>
  <si>
    <t>Collector returns normalized item list</t>
  </si>
  <si>
    <t>2.10</t>
  </si>
  <si>
    <t>Implement X/Twitter collector</t>
  </si>
  <si>
    <t>Collect by keyword/account using X API</t>
  </si>
  <si>
    <t>X items normalized</t>
  </si>
  <si>
    <t>X API token required</t>
  </si>
  <si>
    <t>2.11</t>
  </si>
  <si>
    <t>Implement ecommerce collector</t>
  </si>
  <si>
    <t>Scrape real data from at least 1 source; Rakuten/Yahoo/Mercari optional priority</t>
  </si>
  <si>
    <t>2026/06/12</t>
  </si>
  <si>
    <t>At least 1 ecommerce source works</t>
  </si>
  <si>
    <t>Mock fallback allowed</t>
  </si>
  <si>
    <t>2.12</t>
  </si>
  <si>
    <t>Implement collector run API</t>
  </si>
  <si>
    <t>POST /collectors/run with source_type/source</t>
  </si>
  <si>
    <t>2026/06/10</t>
  </si>
  <si>
    <t>Run summary returned</t>
  </si>
  <si>
    <t>2.13</t>
  </si>
  <si>
    <t>Implement Telegram notification</t>
  </si>
  <si>
    <t>Send notification for new matched item and save history</t>
  </si>
  <si>
    <t>Telegram message sent + DB log</t>
  </si>
  <si>
    <t>2.14</t>
  </si>
  <si>
    <t>Implement notification APIs</t>
  </si>
  <si>
    <t>POST /notifications/test, GET /notifications</t>
  </si>
  <si>
    <t>2026/06/13</t>
  </si>
  <si>
    <t>Notification APIs work</t>
  </si>
  <si>
    <t>3.1</t>
  </si>
  <si>
    <t>Write pytest for filter logic</t>
  </si>
  <si>
    <t>Unit test keyword matching cases</t>
  </si>
  <si>
    <t>2026/06/14</t>
  </si>
  <si>
    <t>2026/06/15</t>
  </si>
  <si>
    <t>pytest passes</t>
  </si>
  <si>
    <t>3.2</t>
  </si>
  <si>
    <t>Write pytest for duplicate check</t>
  </si>
  <si>
    <t>Unit test URL duplicate and fallback case</t>
  </si>
  <si>
    <t>3.3</t>
  </si>
  <si>
    <t>API integration test/manual checklist</t>
  </si>
  <si>
    <t>Check health/products/keywords/collectors/notifications endpoints</t>
  </si>
  <si>
    <t>2026/06/16</t>
  </si>
  <si>
    <t>API checklist OK</t>
  </si>
  <si>
    <t>3.4</t>
  </si>
  <si>
    <t>Bug fixing round</t>
  </si>
  <si>
    <t>Fix bugs from API/collector/notification test</t>
  </si>
  <si>
    <t>All</t>
  </si>
  <si>
    <t>2026/06/17</t>
  </si>
  <si>
    <t>No critical bug remains</t>
  </si>
  <si>
    <t>3.5</t>
  </si>
  <si>
    <t>Write README setup/run guide</t>
  </si>
  <si>
    <t>Install, env, run server, run test, demo command</t>
  </si>
  <si>
    <t>2026/06/18</t>
  </si>
  <si>
    <t>README updated</t>
  </si>
  <si>
    <t>3.6</t>
  </si>
  <si>
    <t>Prepare demo script</t>
  </si>
  <si>
    <t>End-to-end demo: add keyword, run collector, verify DB/API/Telegram</t>
  </si>
  <si>
    <t>2026/06/19</t>
  </si>
  <si>
    <t>Demo scenario ready</t>
  </si>
  <si>
    <t>3.7</t>
  </si>
  <si>
    <t>Final review and submission</t>
  </si>
  <si>
    <t>Check WBS/spec/API/README/code status</t>
  </si>
  <si>
    <t>Submission ready</t>
  </si>
  <si>
    <t>Member</t>
  </si>
  <si>
    <t>GitHub username</t>
  </si>
  <si>
    <t>Main responsibility</t>
  </si>
  <si>
    <t>BrSE / Leader</t>
  </si>
  <si>
    <t>Docs, WBS, API spec, GitHub management, PR review, demo script</t>
  </si>
  <si>
    <t>Need confirm real GitHub username</t>
  </si>
  <si>
    <t>FastAPI base, product API, keyword API, collector run API</t>
  </si>
  <si>
    <t>X/Twitter collector, ecommerce collector interface/scraping</t>
  </si>
  <si>
    <t>Dev - DB/Test/Notification</t>
  </si>
  <si>
    <t>SQLite/SQLAlchemy models, duplicate check, Telegram notification, pytest</t>
  </si>
  <si>
    <t>Type</t>
  </si>
  <si>
    <t>Risk / Issue</t>
  </si>
  <si>
    <t>Impact</t>
  </si>
  <si>
    <t>Mitigation / Next action</t>
  </si>
  <si>
    <t>R-001</t>
  </si>
  <si>
    <t>Risk</t>
  </si>
  <si>
    <t>X API token/quota không đủ cho demo</t>
  </si>
  <si>
    <t>Collector X có thể fail hoặc bị limit</t>
  </si>
  <si>
    <t>Chuẩn bị sample/mock fallback; ecommerce collector vẫn demo được</t>
  </si>
  <si>
    <t>Open</t>
  </si>
  <si>
    <t>R-002</t>
  </si>
  <si>
    <t>Ecommerce site block scraping hoặc HTML thay đổi</t>
  </si>
  <si>
    <t>Parser có thể fail</t>
  </si>
  <si>
    <t>Implement collector interface; real scraping tối thiểu 1 source; mock fallback</t>
  </si>
  <si>
    <t>R-003</t>
  </si>
  <si>
    <t>GitHub username của member chưa đúng format</t>
  </si>
  <si>
    <t>Invite/assign task có thể sai</t>
  </si>
  <si>
    <t>Confirm username thật, update Team sheet</t>
  </si>
  <si>
    <t>R-004</t>
  </si>
  <si>
    <t>Issue</t>
  </si>
  <si>
    <t>Project name chính thức chưa chốt</t>
  </si>
  <si>
    <t>Docs có thể cần rename sau</t>
  </si>
  <si>
    <t>Dùng Hot Product Hunter as working title</t>
  </si>
  <si>
    <t>R-005</t>
  </si>
  <si>
    <t>Token/secret bị commit nhầm</t>
  </si>
  <si>
    <t>Security issue</t>
  </si>
  <si>
    <t>Use .gitignore, .env.example, code review PR</t>
  </si>
  <si>
    <t>R-006</t>
  </si>
  <si>
    <t>Scope quá rộng nếu làm đủ 3 ecommerce sites</t>
  </si>
  <si>
    <t>Delay M2</t>
  </si>
  <si>
    <t>Must: 1 source real scraping; Should: source 2/3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</si>
</sst>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0.0"/>
  </numFmts>
  <fonts count="5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5B9BD5"/>
        <bgColor rgb="FF5B9BD5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3" fontId="3" numFmtId="0" xfId="0" applyFill="1" applyFont="1"/>
    <xf borderId="0" fillId="0" fontId="4" numFmtId="0" xfId="0" applyFont="1"/>
    <xf borderId="0" fillId="0" fontId="2" numFmtId="164" xfId="0" applyAlignment="1" applyFont="1" applyNumberFormat="1">
      <alignment shrinkToFit="0" wrapText="1"/>
    </xf>
    <xf borderId="0" fillId="0" fontId="2" numFmtId="0" xfId="0" applyFont="1"/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4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3">
    <tableStyle count="3" pivot="0" name="WBS進捗管理-style">
      <tableStyleElement dxfId="1" type="headerRow"/>
      <tableStyleElement dxfId="2" type="firstRowStripe"/>
      <tableStyleElement dxfId="3" type="secondRowStripe"/>
    </tableStyle>
    <tableStyle count="3" pivot="0" name="Team-style">
      <tableStyleElement dxfId="1" type="headerRow"/>
      <tableStyleElement dxfId="2" type="firstRowStripe"/>
      <tableStyleElement dxfId="3" type="secondRowStripe"/>
    </tableStyle>
    <tableStyle count="3" pivot="0" name="Risks_Issu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Task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Summary!$F$3:$F$6</c:f>
            </c:strRef>
          </c:cat>
          <c:val>
            <c:numRef>
              <c:f>Summary!$G$3:$G$6</c:f>
              <c:numCache/>
            </c:numRef>
          </c:val>
        </c:ser>
        <c:axId val="2002552064"/>
        <c:axId val="115196131"/>
      </c:barChart>
      <c:catAx>
        <c:axId val="200255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96131"/>
      </c:catAx>
      <c:valAx>
        <c:axId val="115196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55206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0</xdr:rowOff>
    </xdr:from>
    <xdr:ext cx="5372100" cy="2600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7" displayName="Table_1" name="Table_1" id="1">
  <tableColumns count="14">
    <tableColumn name="ID" id="1"/>
    <tableColumn name="Phase" id="2"/>
    <tableColumn name="Task" id="3"/>
    <tableColumn name="Description" id="4"/>
    <tableColumn name="Owner" id="5"/>
    <tableColumn name="Role" id="6"/>
    <tableColumn name="Start" id="7"/>
    <tableColumn name="End" id="8"/>
    <tableColumn name="Estimate(d)" id="9"/>
    <tableColumn name="Status" id="10"/>
    <tableColumn name="Priority" id="11"/>
    <tableColumn name="Deliverable" id="12"/>
    <tableColumn name="GitHub Issue" id="13"/>
    <tableColumn name="Notes" id="14"/>
  </tableColumns>
  <tableStyleInfo name="WBS進捗管理-style" showColumnStripes="0" showFirstColumn="1" showLastColumn="1" showRowStripes="1"/>
</table>
</file>

<file path=xl/tables/table2.xml><?xml version="1.0" encoding="utf-8"?>
<table xmlns="http://schemas.openxmlformats.org/spreadsheetml/2006/main" ref="A1:E5" displayName="Table_2" name="Table_2" id="2">
  <tableColumns count="5">
    <tableColumn name="Member" id="1"/>
    <tableColumn name="Role" id="2"/>
    <tableColumn name="GitHub username" id="3"/>
    <tableColumn name="Main responsibility" id="4"/>
    <tableColumn name="Notes" id="5"/>
  </tableColumns>
  <tableStyleInfo name="Team-style" showColumnStripes="0" showFirstColumn="1" showLastColumn="1" showRowStripes="1"/>
</table>
</file>

<file path=xl/tables/table3.xml><?xml version="1.0" encoding="utf-8"?>
<table xmlns="http://schemas.openxmlformats.org/spreadsheetml/2006/main" ref="A1:G7" displayName="Table_3" name="Table_3" id="3">
  <tableColumns count="7">
    <tableColumn name="ID" id="1"/>
    <tableColumn name="Type" id="2"/>
    <tableColumn name="Risk / Issue" id="3"/>
    <tableColumn name="Impact" id="4"/>
    <tableColumn name="Mitigation / Next action" id="5"/>
    <tableColumn name="Owner" id="6"/>
    <tableColumn name="Status" id="7"/>
  </tableColumns>
  <tableStyleInfo name="Risks_Issu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0.0"/>
    <col customWidth="1" min="3" max="3" width="20.0"/>
    <col customWidth="1" min="4" max="4" width="28.0"/>
    <col customWidth="1" min="5" max="5" width="8.63"/>
    <col customWidth="1" min="6" max="7" width="18.0"/>
    <col customWidth="1" min="8" max="26" width="8.63"/>
  </cols>
  <sheetData>
    <row r="1" ht="30.0" customHeight="1">
      <c r="A1" s="1" t="s">
        <v>0</v>
      </c>
      <c r="E1" s="2"/>
      <c r="F1" s="3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4" t="s">
        <v>3</v>
      </c>
      <c r="C2" s="2" t="s">
        <v>4</v>
      </c>
      <c r="D2" s="2" t="s">
        <v>5</v>
      </c>
      <c r="F2" s="5" t="s">
        <v>4</v>
      </c>
      <c r="G2" s="5" t="s">
        <v>6</v>
      </c>
    </row>
    <row r="3">
      <c r="A3" s="2" t="s">
        <v>7</v>
      </c>
      <c r="B3" s="2" t="s">
        <v>8</v>
      </c>
      <c r="C3" s="2" t="s">
        <v>9</v>
      </c>
      <c r="D3" s="4" t="s">
        <v>10</v>
      </c>
      <c r="F3" s="6" t="s">
        <v>11</v>
      </c>
      <c r="G3" s="6">
        <f>COUNTIF('WBS進捗管理'!J2:J27,"Not Started")</f>
        <v>21</v>
      </c>
    </row>
    <row r="4">
      <c r="A4" s="2" t="s">
        <v>12</v>
      </c>
      <c r="B4" s="7">
        <v>46171.0</v>
      </c>
      <c r="C4" s="7" t="s">
        <v>13</v>
      </c>
      <c r="D4" s="7">
        <v>46192.0</v>
      </c>
      <c r="F4" s="6" t="s">
        <v>14</v>
      </c>
      <c r="G4" s="6">
        <f>COUNTIF('WBS進捗管理'!J2:J27,"In Progress")</f>
        <v>4</v>
      </c>
    </row>
    <row r="5">
      <c r="A5" s="2" t="s">
        <v>15</v>
      </c>
      <c r="B5" s="2" t="s">
        <v>16</v>
      </c>
      <c r="C5" s="2"/>
      <c r="D5" s="2"/>
      <c r="F5" s="6" t="s">
        <v>17</v>
      </c>
      <c r="G5" s="6">
        <f>COUNTIF('WBS進捗管理'!J2:J27,"Done")</f>
        <v>1</v>
      </c>
    </row>
    <row r="6">
      <c r="A6" s="8"/>
      <c r="B6" s="8"/>
      <c r="C6" s="8"/>
      <c r="D6" s="8"/>
      <c r="F6" s="6" t="s">
        <v>18</v>
      </c>
      <c r="G6" s="6">
        <f>COUNTIF('WBS進捗管理'!J2:J27,"Blocked")</f>
        <v>0</v>
      </c>
    </row>
    <row r="7">
      <c r="A7" s="9" t="s">
        <v>19</v>
      </c>
      <c r="B7" s="9" t="s">
        <v>20</v>
      </c>
      <c r="C7" s="9" t="s">
        <v>21</v>
      </c>
      <c r="D7" s="9" t="s">
        <v>4</v>
      </c>
    </row>
    <row r="8">
      <c r="A8" s="8" t="s">
        <v>22</v>
      </c>
      <c r="B8" s="8" t="s">
        <v>23</v>
      </c>
      <c r="C8" s="8" t="s">
        <v>24</v>
      </c>
      <c r="D8" s="8" t="s">
        <v>14</v>
      </c>
    </row>
    <row r="9">
      <c r="A9" s="8" t="s">
        <v>25</v>
      </c>
      <c r="B9" s="8" t="s">
        <v>26</v>
      </c>
      <c r="C9" s="8" t="s">
        <v>27</v>
      </c>
      <c r="D9" s="8" t="s">
        <v>11</v>
      </c>
    </row>
    <row r="10">
      <c r="A10" s="8" t="s">
        <v>28</v>
      </c>
      <c r="B10" s="8" t="s">
        <v>29</v>
      </c>
      <c r="C10" s="8" t="s">
        <v>30</v>
      </c>
      <c r="D10" s="8" t="s">
        <v>11</v>
      </c>
    </row>
    <row r="11">
      <c r="A11" s="8"/>
      <c r="B11" s="8"/>
      <c r="C11" s="8"/>
      <c r="D11" s="8"/>
    </row>
    <row r="12">
      <c r="A12" s="9" t="s">
        <v>31</v>
      </c>
      <c r="B12" s="9" t="s">
        <v>32</v>
      </c>
      <c r="C12" s="9" t="s">
        <v>33</v>
      </c>
      <c r="D12" s="9" t="s">
        <v>34</v>
      </c>
    </row>
    <row r="13">
      <c r="A13" s="8" t="s">
        <v>35</v>
      </c>
      <c r="B13" s="8" t="s">
        <v>36</v>
      </c>
      <c r="C13" s="8" t="s">
        <v>37</v>
      </c>
      <c r="D13" s="8" t="s">
        <v>38</v>
      </c>
    </row>
    <row r="14">
      <c r="A14" s="8" t="s">
        <v>39</v>
      </c>
      <c r="B14" s="8" t="s">
        <v>40</v>
      </c>
      <c r="C14" s="8" t="s">
        <v>41</v>
      </c>
      <c r="D14" s="8" t="s">
        <v>42</v>
      </c>
    </row>
    <row r="15">
      <c r="A15" s="8" t="s">
        <v>43</v>
      </c>
      <c r="B15" s="8" t="s">
        <v>44</v>
      </c>
      <c r="C15" s="8" t="s">
        <v>45</v>
      </c>
      <c r="D15" s="8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F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0"/>
    <col customWidth="1" min="3" max="3" width="28.0"/>
    <col customWidth="1" min="4" max="4" width="50.0"/>
    <col customWidth="1" min="5" max="6" width="18.0"/>
    <col customWidth="1" min="7" max="8" width="12.0"/>
    <col customWidth="1" min="9" max="9" width="11.0"/>
    <col customWidth="1" min="10" max="10" width="14.0"/>
    <col customWidth="1" min="11" max="11" width="11.0"/>
    <col customWidth="1" min="12" max="12" width="36.0"/>
    <col customWidth="1" min="13" max="13" width="16.0"/>
    <col customWidth="1" min="14" max="14" width="35.0"/>
    <col customWidth="1" min="15" max="26" width="8.63"/>
  </cols>
  <sheetData>
    <row r="1">
      <c r="A1" s="10" t="s">
        <v>47</v>
      </c>
      <c r="B1" s="10" t="s">
        <v>19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4</v>
      </c>
      <c r="K1" s="10" t="s">
        <v>55</v>
      </c>
      <c r="L1" s="10" t="s">
        <v>56</v>
      </c>
      <c r="M1" s="10" t="s">
        <v>57</v>
      </c>
      <c r="N1" s="10" t="s">
        <v>58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59</v>
      </c>
      <c r="B2" s="11" t="s">
        <v>22</v>
      </c>
      <c r="C2" s="11" t="s">
        <v>60</v>
      </c>
      <c r="D2" s="11" t="s">
        <v>61</v>
      </c>
      <c r="E2" s="11" t="s">
        <v>62</v>
      </c>
      <c r="F2" s="11" t="s">
        <v>63</v>
      </c>
      <c r="G2" s="12" t="s">
        <v>64</v>
      </c>
      <c r="H2" s="12" t="s">
        <v>65</v>
      </c>
      <c r="I2" s="13">
        <v>1.0</v>
      </c>
      <c r="J2" s="11" t="s">
        <v>17</v>
      </c>
      <c r="K2" s="11" t="s">
        <v>66</v>
      </c>
      <c r="L2" s="11" t="s">
        <v>67</v>
      </c>
      <c r="M2" s="11" t="s">
        <v>68</v>
      </c>
      <c r="N2" s="11" t="s">
        <v>69</v>
      </c>
    </row>
    <row r="3">
      <c r="A3" s="11" t="s">
        <v>70</v>
      </c>
      <c r="B3" s="11" t="s">
        <v>22</v>
      </c>
      <c r="C3" s="11" t="s">
        <v>71</v>
      </c>
      <c r="D3" s="11" t="s">
        <v>72</v>
      </c>
      <c r="E3" s="11" t="s">
        <v>62</v>
      </c>
      <c r="F3" s="11" t="s">
        <v>63</v>
      </c>
      <c r="G3" s="12" t="s">
        <v>65</v>
      </c>
      <c r="H3" s="12" t="s">
        <v>73</v>
      </c>
      <c r="I3" s="13">
        <v>1.0</v>
      </c>
      <c r="J3" s="11" t="s">
        <v>14</v>
      </c>
      <c r="K3" s="11" t="s">
        <v>66</v>
      </c>
      <c r="L3" s="11" t="s">
        <v>74</v>
      </c>
      <c r="M3" s="11" t="s">
        <v>75</v>
      </c>
      <c r="N3" s="11"/>
    </row>
    <row r="4">
      <c r="A4" s="11" t="s">
        <v>76</v>
      </c>
      <c r="B4" s="11" t="s">
        <v>22</v>
      </c>
      <c r="C4" s="11" t="s">
        <v>77</v>
      </c>
      <c r="D4" s="11" t="s">
        <v>78</v>
      </c>
      <c r="E4" s="11" t="s">
        <v>62</v>
      </c>
      <c r="F4" s="11" t="s">
        <v>63</v>
      </c>
      <c r="G4" s="12" t="s">
        <v>65</v>
      </c>
      <c r="H4" s="12" t="s">
        <v>73</v>
      </c>
      <c r="I4" s="13">
        <v>1.0</v>
      </c>
      <c r="J4" s="11" t="s">
        <v>14</v>
      </c>
      <c r="K4" s="11" t="s">
        <v>66</v>
      </c>
      <c r="L4" s="11" t="s">
        <v>79</v>
      </c>
      <c r="M4" s="11" t="s">
        <v>80</v>
      </c>
      <c r="N4" s="11"/>
    </row>
    <row r="5">
      <c r="A5" s="11" t="s">
        <v>81</v>
      </c>
      <c r="B5" s="11" t="s">
        <v>22</v>
      </c>
      <c r="C5" s="11" t="s">
        <v>82</v>
      </c>
      <c r="D5" s="11" t="s">
        <v>83</v>
      </c>
      <c r="E5" s="11" t="s">
        <v>62</v>
      </c>
      <c r="F5" s="11" t="s">
        <v>63</v>
      </c>
      <c r="G5" s="12" t="s">
        <v>65</v>
      </c>
      <c r="H5" s="12" t="s">
        <v>73</v>
      </c>
      <c r="I5" s="13">
        <v>0.5</v>
      </c>
      <c r="J5" s="11" t="s">
        <v>14</v>
      </c>
      <c r="K5" s="11" t="s">
        <v>66</v>
      </c>
      <c r="L5" s="11" t="s">
        <v>84</v>
      </c>
      <c r="M5" s="11" t="s">
        <v>85</v>
      </c>
      <c r="N5" s="11"/>
    </row>
    <row r="6">
      <c r="A6" s="11" t="s">
        <v>86</v>
      </c>
      <c r="B6" s="11" t="s">
        <v>22</v>
      </c>
      <c r="C6" s="11" t="s">
        <v>87</v>
      </c>
      <c r="D6" s="11" t="s">
        <v>88</v>
      </c>
      <c r="E6" s="11" t="s">
        <v>62</v>
      </c>
      <c r="F6" s="11" t="s">
        <v>63</v>
      </c>
      <c r="G6" s="12" t="s">
        <v>73</v>
      </c>
      <c r="H6" s="12" t="s">
        <v>73</v>
      </c>
      <c r="I6" s="13">
        <v>0.5</v>
      </c>
      <c r="J6" s="11" t="s">
        <v>14</v>
      </c>
      <c r="K6" s="11" t="s">
        <v>89</v>
      </c>
      <c r="L6" s="11" t="s">
        <v>90</v>
      </c>
      <c r="M6" s="11" t="s">
        <v>91</v>
      </c>
      <c r="N6" s="11"/>
    </row>
    <row r="7">
      <c r="A7" s="11" t="s">
        <v>92</v>
      </c>
      <c r="B7" s="11" t="s">
        <v>25</v>
      </c>
      <c r="C7" s="11" t="s">
        <v>93</v>
      </c>
      <c r="D7" s="11" t="s">
        <v>94</v>
      </c>
      <c r="E7" s="11" t="s">
        <v>95</v>
      </c>
      <c r="F7" s="11" t="s">
        <v>96</v>
      </c>
      <c r="G7" s="12" t="s">
        <v>97</v>
      </c>
      <c r="H7" s="12" t="s">
        <v>98</v>
      </c>
      <c r="I7" s="13">
        <v>1.0</v>
      </c>
      <c r="J7" s="11" t="s">
        <v>11</v>
      </c>
      <c r="K7" s="11" t="s">
        <v>66</v>
      </c>
      <c r="L7" s="11" t="s">
        <v>99</v>
      </c>
      <c r="M7" s="11" t="s">
        <v>91</v>
      </c>
      <c r="N7" s="11"/>
    </row>
    <row r="8">
      <c r="A8" s="11" t="s">
        <v>100</v>
      </c>
      <c r="B8" s="11" t="s">
        <v>25</v>
      </c>
      <c r="C8" s="11" t="s">
        <v>101</v>
      </c>
      <c r="D8" s="11" t="s">
        <v>102</v>
      </c>
      <c r="E8" s="11" t="s">
        <v>95</v>
      </c>
      <c r="F8" s="11" t="s">
        <v>96</v>
      </c>
      <c r="G8" s="12" t="s">
        <v>97</v>
      </c>
      <c r="H8" s="12" t="s">
        <v>98</v>
      </c>
      <c r="I8" s="13">
        <v>0.5</v>
      </c>
      <c r="J8" s="11" t="s">
        <v>11</v>
      </c>
      <c r="K8" s="11" t="s">
        <v>66</v>
      </c>
      <c r="L8" s="11" t="s">
        <v>103</v>
      </c>
      <c r="M8" s="11" t="s">
        <v>91</v>
      </c>
      <c r="N8" s="11" t="s">
        <v>104</v>
      </c>
    </row>
    <row r="9">
      <c r="A9" s="11" t="s">
        <v>105</v>
      </c>
      <c r="B9" s="11" t="s">
        <v>25</v>
      </c>
      <c r="C9" s="11" t="s">
        <v>106</v>
      </c>
      <c r="D9" s="11" t="s">
        <v>107</v>
      </c>
      <c r="E9" s="11" t="s">
        <v>108</v>
      </c>
      <c r="F9" s="11" t="s">
        <v>109</v>
      </c>
      <c r="G9" s="12" t="s">
        <v>98</v>
      </c>
      <c r="H9" s="12" t="s">
        <v>110</v>
      </c>
      <c r="I9" s="13">
        <v>1.0</v>
      </c>
      <c r="J9" s="11" t="s">
        <v>11</v>
      </c>
      <c r="K9" s="11" t="s">
        <v>66</v>
      </c>
      <c r="L9" s="11" t="s">
        <v>111</v>
      </c>
      <c r="M9" s="11" t="s">
        <v>91</v>
      </c>
      <c r="N9" s="11"/>
    </row>
    <row r="10">
      <c r="A10" s="11" t="s">
        <v>112</v>
      </c>
      <c r="B10" s="11" t="s">
        <v>25</v>
      </c>
      <c r="C10" s="11" t="s">
        <v>113</v>
      </c>
      <c r="D10" s="11" t="s">
        <v>114</v>
      </c>
      <c r="E10" s="11" t="s">
        <v>108</v>
      </c>
      <c r="F10" s="11" t="s">
        <v>109</v>
      </c>
      <c r="G10" s="12" t="s">
        <v>110</v>
      </c>
      <c r="H10" s="12" t="s">
        <v>115</v>
      </c>
      <c r="I10" s="13">
        <v>1.0</v>
      </c>
      <c r="J10" s="11" t="s">
        <v>11</v>
      </c>
      <c r="K10" s="11" t="s">
        <v>66</v>
      </c>
      <c r="L10" s="11" t="s">
        <v>116</v>
      </c>
      <c r="M10" s="11" t="s">
        <v>91</v>
      </c>
      <c r="N10" s="11"/>
    </row>
    <row r="11">
      <c r="A11" s="11" t="s">
        <v>117</v>
      </c>
      <c r="B11" s="11" t="s">
        <v>25</v>
      </c>
      <c r="C11" s="11" t="s">
        <v>118</v>
      </c>
      <c r="D11" s="11" t="s">
        <v>119</v>
      </c>
      <c r="E11" s="11" t="s">
        <v>95</v>
      </c>
      <c r="F11" s="11" t="s">
        <v>96</v>
      </c>
      <c r="G11" s="12" t="s">
        <v>110</v>
      </c>
      <c r="H11" s="12" t="s">
        <v>120</v>
      </c>
      <c r="I11" s="13">
        <v>1.0</v>
      </c>
      <c r="J11" s="11" t="s">
        <v>11</v>
      </c>
      <c r="K11" s="11" t="s">
        <v>66</v>
      </c>
      <c r="L11" s="11" t="s">
        <v>121</v>
      </c>
      <c r="M11" s="11" t="s">
        <v>91</v>
      </c>
      <c r="N11" s="11"/>
    </row>
    <row r="12">
      <c r="A12" s="11" t="s">
        <v>122</v>
      </c>
      <c r="B12" s="11" t="s">
        <v>25</v>
      </c>
      <c r="C12" s="11" t="s">
        <v>123</v>
      </c>
      <c r="D12" s="11" t="s">
        <v>124</v>
      </c>
      <c r="E12" s="11" t="s">
        <v>95</v>
      </c>
      <c r="F12" s="11" t="s">
        <v>96</v>
      </c>
      <c r="G12" s="12" t="s">
        <v>115</v>
      </c>
      <c r="H12" s="12" t="s">
        <v>125</v>
      </c>
      <c r="I12" s="13">
        <v>1.5</v>
      </c>
      <c r="J12" s="11" t="s">
        <v>11</v>
      </c>
      <c r="K12" s="11" t="s">
        <v>66</v>
      </c>
      <c r="L12" s="11" t="s">
        <v>126</v>
      </c>
      <c r="M12" s="11" t="s">
        <v>91</v>
      </c>
      <c r="N12" s="11"/>
    </row>
    <row r="13">
      <c r="A13" s="11" t="s">
        <v>127</v>
      </c>
      <c r="B13" s="11" t="s">
        <v>25</v>
      </c>
      <c r="C13" s="11" t="s">
        <v>128</v>
      </c>
      <c r="D13" s="11" t="s">
        <v>129</v>
      </c>
      <c r="E13" s="11" t="s">
        <v>108</v>
      </c>
      <c r="F13" s="11" t="s">
        <v>109</v>
      </c>
      <c r="G13" s="12" t="s">
        <v>120</v>
      </c>
      <c r="H13" s="12" t="s">
        <v>125</v>
      </c>
      <c r="I13" s="13">
        <v>1.0</v>
      </c>
      <c r="J13" s="11" t="s">
        <v>11</v>
      </c>
      <c r="K13" s="11" t="s">
        <v>66</v>
      </c>
      <c r="L13" s="11" t="s">
        <v>130</v>
      </c>
      <c r="M13" s="11" t="s">
        <v>91</v>
      </c>
      <c r="N13" s="11"/>
    </row>
    <row r="14">
      <c r="A14" s="11" t="s">
        <v>131</v>
      </c>
      <c r="B14" s="11" t="s">
        <v>25</v>
      </c>
      <c r="C14" s="11" t="s">
        <v>132</v>
      </c>
      <c r="D14" s="11" t="s">
        <v>133</v>
      </c>
      <c r="E14" s="11" t="s">
        <v>108</v>
      </c>
      <c r="F14" s="11" t="s">
        <v>109</v>
      </c>
      <c r="G14" s="12" t="s">
        <v>125</v>
      </c>
      <c r="H14" s="12" t="s">
        <v>134</v>
      </c>
      <c r="I14" s="13">
        <v>1.0</v>
      </c>
      <c r="J14" s="11" t="s">
        <v>11</v>
      </c>
      <c r="K14" s="11" t="s">
        <v>66</v>
      </c>
      <c r="L14" s="11" t="s">
        <v>135</v>
      </c>
      <c r="M14" s="11" t="s">
        <v>91</v>
      </c>
      <c r="N14" s="11"/>
    </row>
    <row r="15">
      <c r="A15" s="11" t="s">
        <v>136</v>
      </c>
      <c r="B15" s="11" t="s">
        <v>25</v>
      </c>
      <c r="C15" s="11" t="s">
        <v>137</v>
      </c>
      <c r="D15" s="11" t="s">
        <v>138</v>
      </c>
      <c r="E15" s="11" t="s">
        <v>139</v>
      </c>
      <c r="F15" s="11" t="s">
        <v>140</v>
      </c>
      <c r="G15" s="12" t="s">
        <v>97</v>
      </c>
      <c r="H15" s="12" t="s">
        <v>110</v>
      </c>
      <c r="I15" s="13">
        <v>1.0</v>
      </c>
      <c r="J15" s="11" t="s">
        <v>11</v>
      </c>
      <c r="K15" s="11" t="s">
        <v>66</v>
      </c>
      <c r="L15" s="11" t="s">
        <v>141</v>
      </c>
      <c r="M15" s="11" t="s">
        <v>91</v>
      </c>
      <c r="N15" s="11"/>
    </row>
    <row r="16">
      <c r="A16" s="11" t="s">
        <v>142</v>
      </c>
      <c r="B16" s="11" t="s">
        <v>25</v>
      </c>
      <c r="C16" s="11" t="s">
        <v>143</v>
      </c>
      <c r="D16" s="11" t="s">
        <v>144</v>
      </c>
      <c r="E16" s="11" t="s">
        <v>139</v>
      </c>
      <c r="F16" s="11" t="s">
        <v>140</v>
      </c>
      <c r="G16" s="12" t="s">
        <v>110</v>
      </c>
      <c r="H16" s="12" t="s">
        <v>134</v>
      </c>
      <c r="I16" s="13">
        <v>2.0</v>
      </c>
      <c r="J16" s="11" t="s">
        <v>11</v>
      </c>
      <c r="K16" s="11" t="s">
        <v>66</v>
      </c>
      <c r="L16" s="11" t="s">
        <v>145</v>
      </c>
      <c r="M16" s="11" t="s">
        <v>91</v>
      </c>
      <c r="N16" s="11" t="s">
        <v>146</v>
      </c>
    </row>
    <row r="17">
      <c r="A17" s="11" t="s">
        <v>147</v>
      </c>
      <c r="B17" s="11" t="s">
        <v>25</v>
      </c>
      <c r="C17" s="11" t="s">
        <v>148</v>
      </c>
      <c r="D17" s="11" t="s">
        <v>149</v>
      </c>
      <c r="E17" s="11" t="s">
        <v>139</v>
      </c>
      <c r="F17" s="11" t="s">
        <v>140</v>
      </c>
      <c r="G17" s="12" t="s">
        <v>134</v>
      </c>
      <c r="H17" s="12" t="s">
        <v>150</v>
      </c>
      <c r="I17" s="13">
        <v>2.0</v>
      </c>
      <c r="J17" s="11" t="s">
        <v>11</v>
      </c>
      <c r="K17" s="11" t="s">
        <v>66</v>
      </c>
      <c r="L17" s="11" t="s">
        <v>151</v>
      </c>
      <c r="M17" s="11" t="s">
        <v>91</v>
      </c>
      <c r="N17" s="11" t="s">
        <v>152</v>
      </c>
    </row>
    <row r="18">
      <c r="A18" s="11" t="s">
        <v>153</v>
      </c>
      <c r="B18" s="11" t="s">
        <v>25</v>
      </c>
      <c r="C18" s="11" t="s">
        <v>154</v>
      </c>
      <c r="D18" s="11" t="s">
        <v>155</v>
      </c>
      <c r="E18" s="11" t="s">
        <v>95</v>
      </c>
      <c r="F18" s="11" t="s">
        <v>96</v>
      </c>
      <c r="G18" s="12" t="s">
        <v>156</v>
      </c>
      <c r="H18" s="12" t="s">
        <v>150</v>
      </c>
      <c r="I18" s="13">
        <v>1.0</v>
      </c>
      <c r="J18" s="11" t="s">
        <v>11</v>
      </c>
      <c r="K18" s="11" t="s">
        <v>66</v>
      </c>
      <c r="L18" s="11" t="s">
        <v>157</v>
      </c>
      <c r="M18" s="11" t="s">
        <v>91</v>
      </c>
      <c r="N18" s="11"/>
    </row>
    <row r="19">
      <c r="A19" s="11" t="s">
        <v>158</v>
      </c>
      <c r="B19" s="11" t="s">
        <v>25</v>
      </c>
      <c r="C19" s="11" t="s">
        <v>159</v>
      </c>
      <c r="D19" s="11" t="s">
        <v>160</v>
      </c>
      <c r="E19" s="11" t="s">
        <v>108</v>
      </c>
      <c r="F19" s="11" t="s">
        <v>109</v>
      </c>
      <c r="G19" s="12" t="s">
        <v>156</v>
      </c>
      <c r="H19" s="12" t="s">
        <v>150</v>
      </c>
      <c r="I19" s="13">
        <v>1.5</v>
      </c>
      <c r="J19" s="11" t="s">
        <v>11</v>
      </c>
      <c r="K19" s="11" t="s">
        <v>66</v>
      </c>
      <c r="L19" s="11" t="s">
        <v>161</v>
      </c>
      <c r="M19" s="11" t="s">
        <v>91</v>
      </c>
      <c r="N19" s="11"/>
    </row>
    <row r="20">
      <c r="A20" s="11" t="s">
        <v>162</v>
      </c>
      <c r="B20" s="11" t="s">
        <v>25</v>
      </c>
      <c r="C20" s="11" t="s">
        <v>163</v>
      </c>
      <c r="D20" s="11" t="s">
        <v>164</v>
      </c>
      <c r="E20" s="11" t="s">
        <v>108</v>
      </c>
      <c r="F20" s="11" t="s">
        <v>109</v>
      </c>
      <c r="G20" s="12" t="s">
        <v>150</v>
      </c>
      <c r="H20" s="12" t="s">
        <v>165</v>
      </c>
      <c r="I20" s="13">
        <v>1.0</v>
      </c>
      <c r="J20" s="11" t="s">
        <v>11</v>
      </c>
      <c r="K20" s="11" t="s">
        <v>89</v>
      </c>
      <c r="L20" s="11" t="s">
        <v>166</v>
      </c>
      <c r="M20" s="11" t="s">
        <v>91</v>
      </c>
      <c r="N20" s="11"/>
    </row>
    <row r="21" ht="15.75" customHeight="1">
      <c r="A21" s="11" t="s">
        <v>167</v>
      </c>
      <c r="B21" s="11" t="s">
        <v>28</v>
      </c>
      <c r="C21" s="11" t="s">
        <v>168</v>
      </c>
      <c r="D21" s="11" t="s">
        <v>169</v>
      </c>
      <c r="E21" s="11" t="s">
        <v>108</v>
      </c>
      <c r="F21" s="11" t="s">
        <v>109</v>
      </c>
      <c r="G21" s="12" t="s">
        <v>170</v>
      </c>
      <c r="H21" s="12" t="s">
        <v>171</v>
      </c>
      <c r="I21" s="13">
        <v>0.5</v>
      </c>
      <c r="J21" s="11" t="s">
        <v>11</v>
      </c>
      <c r="K21" s="11" t="s">
        <v>66</v>
      </c>
      <c r="L21" s="11" t="s">
        <v>172</v>
      </c>
      <c r="M21" s="11" t="s">
        <v>91</v>
      </c>
      <c r="N21" s="11"/>
    </row>
    <row r="22" ht="15.75" customHeight="1">
      <c r="A22" s="11" t="s">
        <v>173</v>
      </c>
      <c r="B22" s="11" t="s">
        <v>28</v>
      </c>
      <c r="C22" s="11" t="s">
        <v>174</v>
      </c>
      <c r="D22" s="11" t="s">
        <v>175</v>
      </c>
      <c r="E22" s="11" t="s">
        <v>108</v>
      </c>
      <c r="F22" s="11" t="s">
        <v>109</v>
      </c>
      <c r="G22" s="12" t="s">
        <v>170</v>
      </c>
      <c r="H22" s="12" t="s">
        <v>171</v>
      </c>
      <c r="I22" s="13">
        <v>0.5</v>
      </c>
      <c r="J22" s="11" t="s">
        <v>11</v>
      </c>
      <c r="K22" s="11" t="s">
        <v>66</v>
      </c>
      <c r="L22" s="11" t="s">
        <v>172</v>
      </c>
      <c r="M22" s="11" t="s">
        <v>91</v>
      </c>
      <c r="N22" s="11"/>
    </row>
    <row r="23" ht="15.75" customHeight="1">
      <c r="A23" s="11" t="s">
        <v>176</v>
      </c>
      <c r="B23" s="11" t="s">
        <v>28</v>
      </c>
      <c r="C23" s="11" t="s">
        <v>177</v>
      </c>
      <c r="D23" s="11" t="s">
        <v>178</v>
      </c>
      <c r="E23" s="11" t="s">
        <v>95</v>
      </c>
      <c r="F23" s="11" t="s">
        <v>96</v>
      </c>
      <c r="G23" s="12" t="s">
        <v>171</v>
      </c>
      <c r="H23" s="12" t="s">
        <v>179</v>
      </c>
      <c r="I23" s="13">
        <v>1.0</v>
      </c>
      <c r="J23" s="11" t="s">
        <v>11</v>
      </c>
      <c r="K23" s="11" t="s">
        <v>66</v>
      </c>
      <c r="L23" s="11" t="s">
        <v>180</v>
      </c>
      <c r="M23" s="11" t="s">
        <v>91</v>
      </c>
      <c r="N23" s="11"/>
    </row>
    <row r="24" ht="15.75" customHeight="1">
      <c r="A24" s="11" t="s">
        <v>181</v>
      </c>
      <c r="B24" s="11" t="s">
        <v>28</v>
      </c>
      <c r="C24" s="11" t="s">
        <v>182</v>
      </c>
      <c r="D24" s="11" t="s">
        <v>183</v>
      </c>
      <c r="E24" s="11" t="s">
        <v>184</v>
      </c>
      <c r="F24" s="11" t="s">
        <v>184</v>
      </c>
      <c r="G24" s="12" t="s">
        <v>179</v>
      </c>
      <c r="H24" s="12" t="s">
        <v>185</v>
      </c>
      <c r="I24" s="13">
        <v>1.0</v>
      </c>
      <c r="J24" s="11" t="s">
        <v>11</v>
      </c>
      <c r="K24" s="11" t="s">
        <v>66</v>
      </c>
      <c r="L24" s="11" t="s">
        <v>186</v>
      </c>
      <c r="M24" s="11" t="s">
        <v>91</v>
      </c>
      <c r="N24" s="11"/>
    </row>
    <row r="25" ht="15.75" customHeight="1">
      <c r="A25" s="11" t="s">
        <v>187</v>
      </c>
      <c r="B25" s="11" t="s">
        <v>28</v>
      </c>
      <c r="C25" s="11" t="s">
        <v>188</v>
      </c>
      <c r="D25" s="11" t="s">
        <v>189</v>
      </c>
      <c r="E25" s="11" t="s">
        <v>62</v>
      </c>
      <c r="F25" s="11" t="s">
        <v>63</v>
      </c>
      <c r="G25" s="12" t="s">
        <v>185</v>
      </c>
      <c r="H25" s="12" t="s">
        <v>190</v>
      </c>
      <c r="I25" s="13">
        <v>0.5</v>
      </c>
      <c r="J25" s="11" t="s">
        <v>11</v>
      </c>
      <c r="K25" s="11" t="s">
        <v>89</v>
      </c>
      <c r="L25" s="11" t="s">
        <v>191</v>
      </c>
      <c r="M25" s="11" t="s">
        <v>91</v>
      </c>
      <c r="N25" s="11"/>
    </row>
    <row r="26" ht="15.75" customHeight="1">
      <c r="A26" s="11" t="s">
        <v>192</v>
      </c>
      <c r="B26" s="11" t="s">
        <v>28</v>
      </c>
      <c r="C26" s="11" t="s">
        <v>193</v>
      </c>
      <c r="D26" s="11" t="s">
        <v>194</v>
      </c>
      <c r="E26" s="11" t="s">
        <v>62</v>
      </c>
      <c r="F26" s="11" t="s">
        <v>63</v>
      </c>
      <c r="G26" s="12" t="s">
        <v>190</v>
      </c>
      <c r="H26" s="12" t="s">
        <v>195</v>
      </c>
      <c r="I26" s="13">
        <v>0.5</v>
      </c>
      <c r="J26" s="11" t="s">
        <v>11</v>
      </c>
      <c r="K26" s="11" t="s">
        <v>66</v>
      </c>
      <c r="L26" s="11" t="s">
        <v>196</v>
      </c>
      <c r="M26" s="11" t="s">
        <v>91</v>
      </c>
      <c r="N26" s="11"/>
    </row>
    <row r="27" ht="15.75" customHeight="1">
      <c r="A27" s="11" t="s">
        <v>197</v>
      </c>
      <c r="B27" s="11" t="s">
        <v>28</v>
      </c>
      <c r="C27" s="11" t="s">
        <v>198</v>
      </c>
      <c r="D27" s="11" t="s">
        <v>199</v>
      </c>
      <c r="E27" s="11" t="s">
        <v>184</v>
      </c>
      <c r="F27" s="11" t="s">
        <v>184</v>
      </c>
      <c r="G27" s="12" t="s">
        <v>195</v>
      </c>
      <c r="H27" s="12" t="s">
        <v>195</v>
      </c>
      <c r="I27" s="13">
        <v>0.5</v>
      </c>
      <c r="J27" s="11" t="s">
        <v>11</v>
      </c>
      <c r="K27" s="11" t="s">
        <v>66</v>
      </c>
      <c r="L27" s="11" t="s">
        <v>200</v>
      </c>
      <c r="M27" s="11" t="s">
        <v>91</v>
      </c>
      <c r="N27" s="11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27">
    <cfRule type="expression" dxfId="4" priority="1">
      <formula>J2="Blocked"</formula>
    </cfRule>
  </conditionalFormatting>
  <conditionalFormatting sqref="J2:J27">
    <cfRule type="expression" dxfId="5" priority="2">
      <formula>J2="Done"</formula>
    </cfRule>
  </conditionalFormatting>
  <conditionalFormatting sqref="J2:J27">
    <cfRule type="expression" dxfId="6" priority="3">
      <formula>J2="In Progress"</formula>
    </cfRule>
  </conditionalFormatting>
  <conditionalFormatting sqref="J2:J27">
    <cfRule type="expression" dxfId="7" priority="4">
      <formula>J2="Review"</formula>
    </cfRule>
  </conditionalFormatting>
  <dataValidations>
    <dataValidation type="list" allowBlank="1" sqref="K2:K27">
      <formula1>"High,Medium,Low"</formula1>
    </dataValidation>
    <dataValidation type="list" allowBlank="1" sqref="J2:J27">
      <formula1>"Not Started,In Progress,Review,Done,Blocked"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2.0"/>
    <col customWidth="1" min="3" max="3" width="20.0"/>
    <col customWidth="1" min="4" max="4" width="60.0"/>
    <col customWidth="1" min="5" max="5" width="35.0"/>
    <col customWidth="1" min="6" max="26" width="8.63"/>
  </cols>
  <sheetData>
    <row r="1">
      <c r="A1" s="10" t="s">
        <v>201</v>
      </c>
      <c r="B1" s="10" t="s">
        <v>51</v>
      </c>
      <c r="C1" s="10" t="s">
        <v>202</v>
      </c>
      <c r="D1" s="10" t="s">
        <v>203</v>
      </c>
      <c r="E1" s="10" t="s">
        <v>58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62</v>
      </c>
      <c r="B2" s="14" t="s">
        <v>204</v>
      </c>
      <c r="C2" s="14" t="s">
        <v>62</v>
      </c>
      <c r="D2" s="14" t="s">
        <v>205</v>
      </c>
      <c r="E2" s="14" t="s">
        <v>206</v>
      </c>
    </row>
    <row r="3">
      <c r="A3" s="14" t="s">
        <v>95</v>
      </c>
      <c r="B3" s="14" t="s">
        <v>96</v>
      </c>
      <c r="C3" s="14" t="s">
        <v>95</v>
      </c>
      <c r="D3" s="14" t="s">
        <v>207</v>
      </c>
      <c r="E3" s="14" t="s">
        <v>206</v>
      </c>
    </row>
    <row r="4">
      <c r="A4" s="14" t="s">
        <v>139</v>
      </c>
      <c r="B4" s="14" t="s">
        <v>140</v>
      </c>
      <c r="C4" s="14" t="s">
        <v>139</v>
      </c>
      <c r="D4" s="14" t="s">
        <v>208</v>
      </c>
      <c r="E4" s="14"/>
    </row>
    <row r="5">
      <c r="A5" s="14" t="s">
        <v>108</v>
      </c>
      <c r="B5" s="14" t="s">
        <v>209</v>
      </c>
      <c r="C5" s="14" t="s">
        <v>108</v>
      </c>
      <c r="D5" s="14" t="s">
        <v>210</v>
      </c>
      <c r="E5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0"/>
    <col customWidth="1" min="3" max="3" width="45.0"/>
    <col customWidth="1" min="4" max="4" width="35.0"/>
    <col customWidth="1" min="5" max="5" width="55.0"/>
    <col customWidth="1" min="6" max="6" width="16.0"/>
    <col customWidth="1" min="7" max="7" width="14.0"/>
    <col customWidth="1" min="8" max="26" width="8.63"/>
  </cols>
  <sheetData>
    <row r="1">
      <c r="A1" s="10" t="s">
        <v>47</v>
      </c>
      <c r="B1" s="10" t="s">
        <v>211</v>
      </c>
      <c r="C1" s="10" t="s">
        <v>212</v>
      </c>
      <c r="D1" s="10" t="s">
        <v>213</v>
      </c>
      <c r="E1" s="10" t="s">
        <v>214</v>
      </c>
      <c r="F1" s="10" t="s">
        <v>50</v>
      </c>
      <c r="G1" s="10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215</v>
      </c>
      <c r="B2" s="14" t="s">
        <v>216</v>
      </c>
      <c r="C2" s="14" t="s">
        <v>217</v>
      </c>
      <c r="D2" s="14" t="s">
        <v>218</v>
      </c>
      <c r="E2" s="14" t="s">
        <v>219</v>
      </c>
      <c r="F2" s="14" t="s">
        <v>139</v>
      </c>
      <c r="G2" s="14" t="s">
        <v>220</v>
      </c>
    </row>
    <row r="3">
      <c r="A3" s="14" t="s">
        <v>221</v>
      </c>
      <c r="B3" s="14" t="s">
        <v>216</v>
      </c>
      <c r="C3" s="14" t="s">
        <v>222</v>
      </c>
      <c r="D3" s="14" t="s">
        <v>223</v>
      </c>
      <c r="E3" s="14" t="s">
        <v>224</v>
      </c>
      <c r="F3" s="14" t="s">
        <v>139</v>
      </c>
      <c r="G3" s="14" t="s">
        <v>220</v>
      </c>
    </row>
    <row r="4">
      <c r="A4" s="14" t="s">
        <v>225</v>
      </c>
      <c r="B4" s="14" t="s">
        <v>216</v>
      </c>
      <c r="C4" s="14" t="s">
        <v>226</v>
      </c>
      <c r="D4" s="14" t="s">
        <v>227</v>
      </c>
      <c r="E4" s="14" t="s">
        <v>228</v>
      </c>
      <c r="F4" s="14" t="s">
        <v>62</v>
      </c>
      <c r="G4" s="14" t="s">
        <v>220</v>
      </c>
    </row>
    <row r="5">
      <c r="A5" s="14" t="s">
        <v>229</v>
      </c>
      <c r="B5" s="14" t="s">
        <v>230</v>
      </c>
      <c r="C5" s="14" t="s">
        <v>231</v>
      </c>
      <c r="D5" s="14" t="s">
        <v>232</v>
      </c>
      <c r="E5" s="14" t="s">
        <v>233</v>
      </c>
      <c r="F5" s="14" t="s">
        <v>62</v>
      </c>
      <c r="G5" s="14" t="s">
        <v>220</v>
      </c>
    </row>
    <row r="6">
      <c r="A6" s="14" t="s">
        <v>234</v>
      </c>
      <c r="B6" s="14" t="s">
        <v>216</v>
      </c>
      <c r="C6" s="14" t="s">
        <v>235</v>
      </c>
      <c r="D6" s="14" t="s">
        <v>236</v>
      </c>
      <c r="E6" s="14" t="s">
        <v>237</v>
      </c>
      <c r="F6" s="14" t="s">
        <v>184</v>
      </c>
      <c r="G6" s="14" t="s">
        <v>220</v>
      </c>
    </row>
    <row r="7">
      <c r="A7" s="14" t="s">
        <v>238</v>
      </c>
      <c r="B7" s="14" t="s">
        <v>216</v>
      </c>
      <c r="C7" s="14" t="s">
        <v>239</v>
      </c>
      <c r="D7" s="14" t="s">
        <v>240</v>
      </c>
      <c r="E7" s="14" t="s">
        <v>241</v>
      </c>
      <c r="F7" s="14" t="s">
        <v>63</v>
      </c>
      <c r="G7" s="14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7">
      <formula1>"Open,In Progress,Closed"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